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Nutrientes_suelo/"/>
    </mc:Choice>
  </mc:AlternateContent>
  <xr:revisionPtr revIDLastSave="0" documentId="8_{392EE456-89A3-4306-ACC1-18B06BC18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valenc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D24" i="1"/>
  <c r="I23" i="1"/>
  <c r="D23" i="1"/>
  <c r="I22" i="1"/>
  <c r="D22" i="1"/>
  <c r="I21" i="1"/>
  <c r="D21" i="1"/>
  <c r="I20" i="1"/>
  <c r="D20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7" i="1"/>
  <c r="D7" i="1"/>
  <c r="I6" i="1"/>
  <c r="D6" i="1"/>
  <c r="I5" i="1"/>
  <c r="D5" i="1"/>
  <c r="I4" i="1"/>
  <c r="D4" i="1"/>
  <c r="I3" i="1"/>
  <c r="D3" i="1"/>
</calcChain>
</file>

<file path=xl/sharedStrings.xml><?xml version="1.0" encoding="utf-8"?>
<sst xmlns="http://schemas.openxmlformats.org/spreadsheetml/2006/main" count="87" uniqueCount="33">
  <si>
    <t>A- Ingrese el valor</t>
  </si>
  <si>
    <t>B- Ingrese el valor</t>
  </si>
  <si>
    <t>Valor</t>
  </si>
  <si>
    <t>Conversión</t>
  </si>
  <si>
    <t>Resultado</t>
  </si>
  <si>
    <t>N</t>
  </si>
  <si>
    <r>
      <t>NO</t>
    </r>
    <r>
      <rPr>
        <vertAlign val="subscript"/>
        <sz val="11"/>
        <color indexed="9"/>
        <rFont val="Albertus Medium"/>
      </rPr>
      <t>3</t>
    </r>
  </si>
  <si>
    <r>
      <t>NH</t>
    </r>
    <r>
      <rPr>
        <vertAlign val="subscript"/>
        <sz val="11"/>
        <color indexed="9"/>
        <rFont val="Albertus Medium"/>
      </rPr>
      <t>3</t>
    </r>
  </si>
  <si>
    <t>(NH4)SO4</t>
  </si>
  <si>
    <t>(NH4)NO3</t>
  </si>
  <si>
    <t>K</t>
  </si>
  <si>
    <t>K2O</t>
  </si>
  <si>
    <t>KCl</t>
  </si>
  <si>
    <t>CaO</t>
  </si>
  <si>
    <t>Ca</t>
  </si>
  <si>
    <t>CaCO3</t>
  </si>
  <si>
    <t>MgO</t>
  </si>
  <si>
    <t>Mg</t>
  </si>
  <si>
    <t>MgSO4</t>
  </si>
  <si>
    <t>MgCO3</t>
  </si>
  <si>
    <t>P</t>
  </si>
  <si>
    <t>P2O5</t>
  </si>
  <si>
    <t>S</t>
  </si>
  <si>
    <t>SO2</t>
  </si>
  <si>
    <r>
      <t>SO</t>
    </r>
    <r>
      <rPr>
        <vertAlign val="subscript"/>
        <sz val="11"/>
        <color indexed="9"/>
        <rFont val="Albertus Medium"/>
      </rPr>
      <t>3</t>
    </r>
  </si>
  <si>
    <r>
      <t>SO</t>
    </r>
    <r>
      <rPr>
        <vertAlign val="subscript"/>
        <sz val="11"/>
        <color indexed="9"/>
        <rFont val="Albertus Medium"/>
      </rPr>
      <t>4</t>
    </r>
  </si>
  <si>
    <t>%</t>
  </si>
  <si>
    <t>ppm</t>
  </si>
  <si>
    <r>
      <t xml:space="preserve">Valor </t>
    </r>
    <r>
      <rPr>
        <b/>
        <sz val="9"/>
        <color indexed="9"/>
        <rFont val="Abadi MT Condensed Light"/>
        <family val="2"/>
      </rPr>
      <t>(meq/100g)</t>
    </r>
  </si>
  <si>
    <t>meq/100g a ppm</t>
  </si>
  <si>
    <t>ppm a meq/100g</t>
  </si>
  <si>
    <t>Na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</si>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</sst>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color indexed="9"/>
      <name val="Arial"/>
      <family val="2"/>
    </font>
    <font>
      <sz val="10"/>
      <color indexed="9"/>
      <name val="Arial"/>
    </font>
    <font>
      <b/>
      <sz val="14"/>
      <color indexed="9"/>
      <name val="Abadi MT Condensed Light"/>
      <family val="2"/>
    </font>
    <font>
      <sz val="10"/>
      <color indexed="8"/>
      <name val="Arial"/>
      <family val="2"/>
    </font>
    <font>
      <sz val="11"/>
      <color indexed="9"/>
      <name val="Albertus Medium"/>
    </font>
    <font>
      <vertAlign val="subscript"/>
      <sz val="11"/>
      <color indexed="9"/>
      <name val="Albertus Medium"/>
    </font>
    <font>
      <b/>
      <sz val="9"/>
      <color indexed="9"/>
      <name val="Abadi MT Condensed Light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38"/>
      </left>
      <right style="medium">
        <color indexed="64"/>
      </right>
      <top/>
      <bottom style="medium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9"/>
      </bottom>
      <diagonal/>
    </border>
    <border>
      <left style="medium">
        <color indexed="38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1" xfId="0" applyFont="1" applyFill="1" applyBorder="1" applyProtection="1">
      <protection locked="0"/>
    </xf>
    <xf numFmtId="0" fontId="3" fillId="2" borderId="3" xfId="0" applyFont="1" applyFill="1" applyBorder="1"/>
    <xf numFmtId="0" fontId="2" fillId="2" borderId="0" xfId="0" applyFont="1" applyFill="1"/>
    <xf numFmtId="0" fontId="4" fillId="0" borderId="4" xfId="0" applyFont="1" applyBorder="1" applyProtection="1">
      <protection locked="0"/>
    </xf>
    <xf numFmtId="0" fontId="5" fillId="2" borderId="5" xfId="0" applyFont="1" applyFill="1" applyBorder="1" applyAlignment="1" applyProtection="1">
      <alignment horizontal="center"/>
      <protection hidden="1"/>
    </xf>
    <xf numFmtId="0" fontId="5" fillId="2" borderId="6" xfId="0" applyFont="1" applyFill="1" applyBorder="1" applyAlignment="1" applyProtection="1">
      <alignment horizontal="center"/>
      <protection hidden="1"/>
    </xf>
    <xf numFmtId="0" fontId="1" fillId="2" borderId="7" xfId="0" applyFont="1" applyFill="1" applyBorder="1" applyProtection="1">
      <protection hidden="1"/>
    </xf>
    <xf numFmtId="0" fontId="4" fillId="0" borderId="8" xfId="0" applyFont="1" applyBorder="1" applyProtection="1">
      <protection locked="0"/>
    </xf>
    <xf numFmtId="0" fontId="5" fillId="2" borderId="9" xfId="0" applyFont="1" applyFill="1" applyBorder="1" applyAlignment="1" applyProtection="1">
      <alignment horizontal="center"/>
      <protection hidden="1"/>
    </xf>
    <xf numFmtId="0" fontId="5" fillId="2" borderId="10" xfId="0" applyFont="1" applyFill="1" applyBorder="1" applyAlignment="1" applyProtection="1">
      <alignment horizontal="center"/>
      <protection hidden="1"/>
    </xf>
    <xf numFmtId="0" fontId="1" fillId="2" borderId="11" xfId="0" applyFont="1" applyFill="1" applyBorder="1" applyProtection="1">
      <protection hidden="1"/>
    </xf>
    <xf numFmtId="0" fontId="5" fillId="2" borderId="12" xfId="0" applyFont="1" applyFill="1" applyBorder="1" applyAlignment="1" applyProtection="1">
      <alignment horizontal="center"/>
      <protection hidden="1"/>
    </xf>
    <xf numFmtId="0" fontId="5" fillId="2" borderId="13" xfId="0" applyFont="1" applyFill="1" applyBorder="1" applyAlignment="1" applyProtection="1">
      <alignment horizontal="center"/>
      <protection hidden="1"/>
    </xf>
    <xf numFmtId="0" fontId="3" fillId="2" borderId="3" xfId="0" applyFont="1" applyFill="1" applyBorder="1" applyProtection="1">
      <protection hidden="1"/>
    </xf>
    <xf numFmtId="0" fontId="4" fillId="0" borderId="14" xfId="0" applyFont="1" applyBorder="1" applyProtection="1">
      <protection locked="0"/>
    </xf>
    <xf numFmtId="0" fontId="1" fillId="2" borderId="14" xfId="0" applyFont="1" applyFill="1" applyBorder="1" applyProtection="1">
      <protection hidden="1"/>
    </xf>
    <xf numFmtId="0" fontId="4" fillId="0" borderId="11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1" fillId="2" borderId="17" xfId="0" applyFont="1" applyFill="1" applyBorder="1" applyProtection="1">
      <protection hidden="1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5" fillId="2" borderId="2" xfId="0" applyFont="1" applyFill="1" applyBorder="1" applyAlignment="1" applyProtection="1">
      <alignment horizontal="center"/>
      <protection hidden="1"/>
    </xf>
    <xf numFmtId="0" fontId="5" fillId="2" borderId="3" xfId="0" applyFont="1" applyFill="1" applyBorder="1" applyAlignment="1" applyProtection="1">
      <alignment horizontal="center"/>
      <protection hidden="1"/>
    </xf>
    <xf numFmtId="0" fontId="5" fillId="2" borderId="15" xfId="0" applyFont="1" applyFill="1" applyBorder="1" applyAlignment="1" applyProtection="1">
      <alignment horizontal="center"/>
      <protection hidden="1"/>
    </xf>
    <xf numFmtId="0" fontId="5" fillId="2" borderId="16" xfId="0" applyFont="1" applyFill="1" applyBorder="1" applyAlignment="1" applyProtection="1">
      <alignment horizontal="center"/>
      <protection hidden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 applyProtection="1">
      <alignment horizontal="center"/>
      <protection hidden="1"/>
    </xf>
    <xf numFmtId="0" fontId="3" fillId="2" borderId="3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Q17" sqref="Q17"/>
    </sheetView>
  </sheetViews>
  <sheetFormatPr baseColWidth="10" defaultRowHeight="12.75"/>
  <cols>
    <col min="1" max="1" width="17.5703125" style="24" bestFit="1" customWidth="1"/>
    <col min="2" max="2" width="7.42578125" bestFit="1" customWidth="1"/>
    <col min="3" max="3" width="10.7109375" bestFit="1" customWidth="1"/>
    <col min="6" max="6" width="17.5703125" style="24" bestFit="1" customWidth="1"/>
    <col min="7" max="7" width="10.7109375" bestFit="1" customWidth="1"/>
    <col min="8" max="8" width="7.42578125" bestFit="1" customWidth="1"/>
  </cols>
  <sheetData>
    <row r="1" spans="1:12" ht="13.5" thickBot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2"/>
      <c r="J1" s="3"/>
      <c r="K1" s="3"/>
      <c r="L1" s="3"/>
    </row>
    <row r="2" spans="1:12" ht="18.75" thickBot="1">
      <c r="A2" s="4" t="s">
        <v>2</v>
      </c>
      <c r="B2" s="29" t="s">
        <v>3</v>
      </c>
      <c r="C2" s="30"/>
      <c r="D2" s="5" t="s">
        <v>4</v>
      </c>
      <c r="E2" s="6"/>
      <c r="F2" s="4" t="s">
        <v>2</v>
      </c>
      <c r="G2" s="29" t="s">
        <v>3</v>
      </c>
      <c r="H2" s="30"/>
      <c r="I2" s="5" t="s">
        <v>4</v>
      </c>
      <c r="J2" s="3"/>
      <c r="K2" s="3"/>
      <c r="L2" s="3"/>
    </row>
    <row r="3" spans="1:12" ht="19.5" thickBot="1">
      <c r="A3" s="7">
        <v>1</v>
      </c>
      <c r="B3" s="8" t="s">
        <v>5</v>
      </c>
      <c r="C3" s="9" t="s">
        <v>6</v>
      </c>
      <c r="D3" s="10">
        <f>+A3*4.43</f>
        <v>4.43</v>
      </c>
      <c r="E3" s="6"/>
      <c r="F3" s="11">
        <v>4.43</v>
      </c>
      <c r="G3" s="12" t="s">
        <v>6</v>
      </c>
      <c r="H3" s="13" t="s">
        <v>5</v>
      </c>
      <c r="I3" s="14">
        <f>+F3*0.23</f>
        <v>1.0188999999999999</v>
      </c>
      <c r="J3" s="3"/>
      <c r="K3" s="3"/>
      <c r="L3" s="3"/>
    </row>
    <row r="4" spans="1:12" ht="19.5" thickBot="1">
      <c r="A4" s="7">
        <v>1</v>
      </c>
      <c r="B4" s="12" t="s">
        <v>5</v>
      </c>
      <c r="C4" s="13" t="s">
        <v>7</v>
      </c>
      <c r="D4" s="14">
        <f>+A4*1.22</f>
        <v>1.22</v>
      </c>
      <c r="E4" s="6"/>
      <c r="F4" s="11"/>
      <c r="G4" s="12" t="s">
        <v>7</v>
      </c>
      <c r="H4" s="13" t="s">
        <v>5</v>
      </c>
      <c r="I4" s="14">
        <f>+F4*0.82</f>
        <v>0</v>
      </c>
      <c r="J4" s="3"/>
      <c r="K4" s="3"/>
      <c r="L4" s="3"/>
    </row>
    <row r="5" spans="1:12" ht="15" thickBot="1">
      <c r="A5" s="7">
        <v>1</v>
      </c>
      <c r="B5" s="12" t="s">
        <v>5</v>
      </c>
      <c r="C5" s="13" t="s">
        <v>8</v>
      </c>
      <c r="D5" s="14">
        <f>+A5*4.72</f>
        <v>4.72</v>
      </c>
      <c r="E5" s="6"/>
      <c r="F5" s="11"/>
      <c r="G5" s="12" t="s">
        <v>8</v>
      </c>
      <c r="H5" s="13" t="s">
        <v>5</v>
      </c>
      <c r="I5" s="14">
        <f>+F5*0.21</f>
        <v>0</v>
      </c>
      <c r="J5" s="3"/>
      <c r="K5" s="3"/>
      <c r="L5" s="3"/>
    </row>
    <row r="6" spans="1:12" ht="15" thickBot="1">
      <c r="A6" s="7">
        <v>1</v>
      </c>
      <c r="B6" s="12" t="s">
        <v>5</v>
      </c>
      <c r="C6" s="13" t="s">
        <v>9</v>
      </c>
      <c r="D6" s="14">
        <f>+A6*2.86</f>
        <v>2.86</v>
      </c>
      <c r="E6" s="6"/>
      <c r="F6" s="11"/>
      <c r="G6" s="12" t="s">
        <v>9</v>
      </c>
      <c r="H6" s="13" t="s">
        <v>5</v>
      </c>
      <c r="I6" s="14">
        <f>+F6*0.35</f>
        <v>0</v>
      </c>
      <c r="J6" s="3"/>
      <c r="K6" s="3"/>
      <c r="L6" s="3"/>
    </row>
    <row r="7" spans="1:12" ht="15" thickBot="1">
      <c r="A7" s="7">
        <v>1</v>
      </c>
      <c r="B7" s="12" t="s">
        <v>10</v>
      </c>
      <c r="C7" s="13" t="s">
        <v>11</v>
      </c>
      <c r="D7" s="14">
        <f>+A7*1.2</f>
        <v>1.2</v>
      </c>
      <c r="E7" s="6"/>
      <c r="F7" s="11">
        <v>1</v>
      </c>
      <c r="G7" s="12" t="s">
        <v>11</v>
      </c>
      <c r="H7" s="13" t="s">
        <v>10</v>
      </c>
      <c r="I7" s="14">
        <f>+F7*0.83</f>
        <v>0.83</v>
      </c>
      <c r="J7" s="3"/>
      <c r="K7" s="3"/>
      <c r="L7" s="3"/>
    </row>
    <row r="8" spans="1:12" ht="15" thickBot="1">
      <c r="A8" s="7">
        <v>1</v>
      </c>
      <c r="B8" s="12" t="s">
        <v>12</v>
      </c>
      <c r="C8" s="13" t="s">
        <v>11</v>
      </c>
      <c r="D8" s="14">
        <f>+A8*0.63</f>
        <v>0.63</v>
      </c>
      <c r="E8" s="6"/>
      <c r="F8" s="11"/>
      <c r="G8" s="12" t="s">
        <v>11</v>
      </c>
      <c r="H8" s="13" t="s">
        <v>12</v>
      </c>
      <c r="I8" s="14">
        <f>+F8*1.58</f>
        <v>0</v>
      </c>
      <c r="J8" s="3"/>
      <c r="K8" s="3"/>
      <c r="L8" s="3"/>
    </row>
    <row r="9" spans="1:12" ht="15" thickBot="1">
      <c r="A9" s="7">
        <v>1</v>
      </c>
      <c r="B9" s="12" t="s">
        <v>13</v>
      </c>
      <c r="C9" s="13" t="s">
        <v>14</v>
      </c>
      <c r="D9" s="14">
        <f>+A9*0.71</f>
        <v>0.71</v>
      </c>
      <c r="E9" s="6"/>
      <c r="F9" s="11"/>
      <c r="G9" s="12" t="s">
        <v>14</v>
      </c>
      <c r="H9" s="13" t="s">
        <v>13</v>
      </c>
      <c r="I9" s="14">
        <f>+F9*1.4</f>
        <v>0</v>
      </c>
      <c r="J9" s="3"/>
      <c r="K9" s="3"/>
      <c r="L9" s="3"/>
    </row>
    <row r="10" spans="1:12" ht="15" thickBot="1">
      <c r="A10" s="7">
        <v>1</v>
      </c>
      <c r="B10" s="12" t="s">
        <v>15</v>
      </c>
      <c r="C10" s="13" t="s">
        <v>13</v>
      </c>
      <c r="D10" s="14">
        <f>+A10*0.56</f>
        <v>0.56000000000000005</v>
      </c>
      <c r="E10" s="6"/>
      <c r="F10" s="11"/>
      <c r="G10" s="12" t="s">
        <v>13</v>
      </c>
      <c r="H10" s="13" t="s">
        <v>15</v>
      </c>
      <c r="I10" s="14">
        <f>+F10*1.78</f>
        <v>0</v>
      </c>
      <c r="J10" s="3"/>
      <c r="K10" s="3"/>
      <c r="L10" s="3"/>
    </row>
    <row r="11" spans="1:12" ht="15" thickBot="1">
      <c r="A11" s="7">
        <v>1</v>
      </c>
      <c r="B11" s="12" t="s">
        <v>16</v>
      </c>
      <c r="C11" s="13" t="s">
        <v>17</v>
      </c>
      <c r="D11" s="14">
        <f>+A11*0.6</f>
        <v>0.6</v>
      </c>
      <c r="E11" s="6"/>
      <c r="F11" s="11"/>
      <c r="G11" s="12" t="s">
        <v>17</v>
      </c>
      <c r="H11" s="13" t="s">
        <v>16</v>
      </c>
      <c r="I11" s="14">
        <f>+F11*1.66</f>
        <v>0</v>
      </c>
      <c r="J11" s="3"/>
      <c r="K11" s="3"/>
      <c r="L11" s="3"/>
    </row>
    <row r="12" spans="1:12" ht="15" thickBot="1">
      <c r="A12" s="7">
        <v>1</v>
      </c>
      <c r="B12" s="12" t="s">
        <v>16</v>
      </c>
      <c r="C12" s="13" t="s">
        <v>18</v>
      </c>
      <c r="D12" s="14">
        <f>+A12*2.99</f>
        <v>2.99</v>
      </c>
      <c r="E12" s="6"/>
      <c r="F12" s="11"/>
      <c r="G12" s="12" t="s">
        <v>18</v>
      </c>
      <c r="H12" s="13" t="s">
        <v>16</v>
      </c>
      <c r="I12" s="14">
        <f>+F12*0.33</f>
        <v>0</v>
      </c>
      <c r="J12" s="3"/>
      <c r="K12" s="3"/>
      <c r="L12" s="3"/>
    </row>
    <row r="13" spans="1:12" ht="15" thickBot="1">
      <c r="A13" s="7">
        <v>1</v>
      </c>
      <c r="B13" s="12" t="s">
        <v>16</v>
      </c>
      <c r="C13" s="13" t="s">
        <v>19</v>
      </c>
      <c r="D13" s="14">
        <f>+A13*2.09</f>
        <v>2.09</v>
      </c>
      <c r="E13" s="6"/>
      <c r="F13" s="11"/>
      <c r="G13" s="12" t="s">
        <v>19</v>
      </c>
      <c r="H13" s="13" t="s">
        <v>16</v>
      </c>
      <c r="I13" s="14">
        <f>+F13*0.48</f>
        <v>0</v>
      </c>
      <c r="J13" s="3"/>
      <c r="K13" s="3"/>
      <c r="L13" s="3"/>
    </row>
    <row r="14" spans="1:12" ht="15" thickBot="1">
      <c r="A14" s="7">
        <v>1</v>
      </c>
      <c r="B14" s="12" t="s">
        <v>20</v>
      </c>
      <c r="C14" s="13" t="s">
        <v>21</v>
      </c>
      <c r="D14" s="14">
        <f>+A14*2.29</f>
        <v>2.29</v>
      </c>
      <c r="E14" s="6"/>
      <c r="F14" s="11">
        <v>2.29</v>
      </c>
      <c r="G14" s="12" t="s">
        <v>21</v>
      </c>
      <c r="H14" s="13" t="s">
        <v>20</v>
      </c>
      <c r="I14" s="14">
        <f>+F14*0.44</f>
        <v>1.0076000000000001</v>
      </c>
      <c r="J14" s="3"/>
      <c r="K14" s="3"/>
      <c r="L14" s="3"/>
    </row>
    <row r="15" spans="1:12" ht="15" thickBot="1">
      <c r="A15" s="7">
        <v>1</v>
      </c>
      <c r="B15" s="12" t="s">
        <v>22</v>
      </c>
      <c r="C15" s="13" t="s">
        <v>23</v>
      </c>
      <c r="D15" s="14">
        <f>+A15*2</f>
        <v>2</v>
      </c>
      <c r="E15" s="6"/>
      <c r="F15" s="11"/>
      <c r="G15" s="12" t="s">
        <v>23</v>
      </c>
      <c r="H15" s="13" t="s">
        <v>22</v>
      </c>
      <c r="I15" s="14">
        <f>+F15*0.5</f>
        <v>0</v>
      </c>
      <c r="J15" s="3"/>
      <c r="K15" s="3"/>
      <c r="L15" s="3"/>
    </row>
    <row r="16" spans="1:12" ht="19.5" thickBot="1">
      <c r="A16" s="7">
        <v>1</v>
      </c>
      <c r="B16" s="12" t="s">
        <v>22</v>
      </c>
      <c r="C16" s="13" t="s">
        <v>24</v>
      </c>
      <c r="D16" s="14">
        <f>+A16*0.4</f>
        <v>0.4</v>
      </c>
      <c r="E16" s="6"/>
      <c r="F16" s="11"/>
      <c r="G16" s="12" t="s">
        <v>24</v>
      </c>
      <c r="H16" s="13" t="s">
        <v>22</v>
      </c>
      <c r="I16" s="14">
        <f>+F16*2.5</f>
        <v>0</v>
      </c>
      <c r="J16" s="3"/>
      <c r="K16" s="3"/>
      <c r="L16" s="3"/>
    </row>
    <row r="17" spans="1:12" ht="19.5" thickBot="1">
      <c r="A17" s="7">
        <v>1</v>
      </c>
      <c r="B17" s="12" t="s">
        <v>22</v>
      </c>
      <c r="C17" s="13" t="s">
        <v>25</v>
      </c>
      <c r="D17" s="14">
        <f>+A17*3</f>
        <v>3</v>
      </c>
      <c r="E17" s="6"/>
      <c r="F17" s="11">
        <v>3</v>
      </c>
      <c r="G17" s="12" t="s">
        <v>25</v>
      </c>
      <c r="H17" s="13" t="s">
        <v>22</v>
      </c>
      <c r="I17" s="14">
        <f>+F17*0.33</f>
        <v>0.99</v>
      </c>
      <c r="J17" s="3"/>
      <c r="K17" s="3"/>
      <c r="L17" s="3"/>
    </row>
    <row r="18" spans="1:12" ht="15" thickBot="1">
      <c r="A18" s="7">
        <v>1</v>
      </c>
      <c r="B18" s="12" t="s">
        <v>26</v>
      </c>
      <c r="C18" s="13" t="s">
        <v>27</v>
      </c>
      <c r="D18" s="14">
        <f>+A18*10000</f>
        <v>10000</v>
      </c>
      <c r="E18" s="6"/>
      <c r="F18" s="11">
        <v>10</v>
      </c>
      <c r="G18" s="15" t="s">
        <v>27</v>
      </c>
      <c r="H18" s="16" t="s">
        <v>26</v>
      </c>
      <c r="I18" s="14">
        <f>+F18*0.0001</f>
        <v>1E-3</v>
      </c>
      <c r="J18" s="3"/>
      <c r="K18" s="3"/>
      <c r="L18" s="3"/>
    </row>
    <row r="19" spans="1:12" ht="18.75" thickBot="1">
      <c r="A19" s="4" t="s">
        <v>28</v>
      </c>
      <c r="B19" s="31" t="s">
        <v>29</v>
      </c>
      <c r="C19" s="32"/>
      <c r="D19" s="17" t="s">
        <v>4</v>
      </c>
      <c r="E19" s="6"/>
      <c r="F19" s="4"/>
      <c r="G19" s="31" t="s">
        <v>30</v>
      </c>
      <c r="H19" s="32"/>
      <c r="I19" s="17" t="s">
        <v>4</v>
      </c>
      <c r="J19" s="3"/>
      <c r="K19" s="3"/>
      <c r="L19" s="3"/>
    </row>
    <row r="20" spans="1:12" ht="15" thickBot="1">
      <c r="A20" s="18">
        <v>1</v>
      </c>
      <c r="B20" s="27" t="s">
        <v>14</v>
      </c>
      <c r="C20" s="28"/>
      <c r="D20" s="19">
        <f>+A20*200.4</f>
        <v>200.4</v>
      </c>
      <c r="E20" s="6"/>
      <c r="F20" s="18">
        <v>1</v>
      </c>
      <c r="G20" s="27" t="s">
        <v>14</v>
      </c>
      <c r="H20" s="28"/>
      <c r="I20" s="19">
        <f>+F20/200.4</f>
        <v>4.9900199600798403E-3</v>
      </c>
      <c r="J20" s="3"/>
      <c r="K20" s="3"/>
      <c r="L20" s="3"/>
    </row>
    <row r="21" spans="1:12" ht="15" thickBot="1">
      <c r="A21" s="20">
        <v>1</v>
      </c>
      <c r="B21" s="27" t="s">
        <v>17</v>
      </c>
      <c r="C21" s="28"/>
      <c r="D21" s="14">
        <f>+A21*121.6</f>
        <v>121.6</v>
      </c>
      <c r="E21" s="6"/>
      <c r="F21" s="20"/>
      <c r="G21" s="27" t="s">
        <v>17</v>
      </c>
      <c r="H21" s="28"/>
      <c r="I21" s="14">
        <f>+F21/121.6</f>
        <v>0</v>
      </c>
      <c r="J21" s="3"/>
      <c r="K21" s="3"/>
      <c r="L21" s="3"/>
    </row>
    <row r="22" spans="1:12" ht="15" thickBot="1">
      <c r="A22" s="20">
        <v>1</v>
      </c>
      <c r="B22" s="27" t="s">
        <v>31</v>
      </c>
      <c r="C22" s="28"/>
      <c r="D22" s="14">
        <f>+A22*230</f>
        <v>230</v>
      </c>
      <c r="E22" s="6"/>
      <c r="F22" s="20"/>
      <c r="G22" s="27" t="s">
        <v>31</v>
      </c>
      <c r="H22" s="28"/>
      <c r="I22" s="14">
        <f>+F22/230</f>
        <v>0</v>
      </c>
      <c r="J22" s="3"/>
      <c r="K22" s="3"/>
      <c r="L22" s="3"/>
    </row>
    <row r="23" spans="1:12" ht="15" thickBot="1">
      <c r="A23" s="20">
        <v>1</v>
      </c>
      <c r="B23" s="27" t="s">
        <v>10</v>
      </c>
      <c r="C23" s="28"/>
      <c r="D23" s="14">
        <f>+A23*391</f>
        <v>391</v>
      </c>
      <c r="E23" s="6"/>
      <c r="F23" s="20"/>
      <c r="G23" s="27" t="s">
        <v>10</v>
      </c>
      <c r="H23" s="28"/>
      <c r="I23" s="14">
        <f>+F23/391</f>
        <v>0</v>
      </c>
      <c r="J23" s="3"/>
      <c r="K23" s="3"/>
      <c r="L23" s="3"/>
    </row>
    <row r="24" spans="1:12" ht="15" thickBot="1">
      <c r="A24" s="21">
        <v>1</v>
      </c>
      <c r="B24" s="25" t="s">
        <v>32</v>
      </c>
      <c r="C24" s="26"/>
      <c r="D24" s="22">
        <f>+A24*10</f>
        <v>10</v>
      </c>
      <c r="E24" s="6"/>
      <c r="F24" s="21"/>
      <c r="G24" s="25" t="s">
        <v>32</v>
      </c>
      <c r="H24" s="26"/>
      <c r="I24" s="22">
        <f>+F24/10</f>
        <v>0</v>
      </c>
      <c r="J24" s="3"/>
      <c r="K24" s="3"/>
      <c r="L24" s="3"/>
    </row>
    <row r="25" spans="1:12">
      <c r="A25" s="23"/>
      <c r="B25" s="3"/>
      <c r="C25" s="3"/>
      <c r="D25" s="3"/>
      <c r="E25" s="3"/>
      <c r="F25" s="23"/>
      <c r="G25" s="3"/>
      <c r="H25" s="3"/>
      <c r="I25" s="3"/>
      <c r="J25" s="3"/>
      <c r="K25" s="3"/>
      <c r="L25" s="3"/>
    </row>
    <row r="26" spans="1:12">
      <c r="A26" s="23"/>
      <c r="B26" s="3"/>
      <c r="C26" s="3"/>
      <c r="D26" s="3"/>
      <c r="E26" s="3"/>
      <c r="F26" s="23"/>
      <c r="G26" s="3"/>
      <c r="H26" s="3"/>
      <c r="I26" s="3"/>
      <c r="J26" s="3"/>
      <c r="K26" s="3"/>
      <c r="L26" s="3"/>
    </row>
    <row r="27" spans="1:12">
      <c r="A27" s="23"/>
      <c r="B27" s="3"/>
      <c r="C27" s="3"/>
      <c r="D27" s="3"/>
      <c r="E27" s="3"/>
      <c r="F27" s="23"/>
      <c r="G27" s="3"/>
      <c r="H27" s="3"/>
      <c r="I27" s="3"/>
      <c r="J27" s="3"/>
      <c r="K27" s="3"/>
      <c r="L27" s="3"/>
    </row>
    <row r="28" spans="1:12">
      <c r="A28" s="23"/>
      <c r="B28" s="3"/>
      <c r="C28" s="3"/>
      <c r="D28" s="3"/>
      <c r="E28" s="3"/>
      <c r="F28" s="23"/>
      <c r="G28" s="3"/>
      <c r="H28" s="3"/>
      <c r="I28" s="3"/>
      <c r="J28" s="3"/>
      <c r="K28" s="3"/>
      <c r="L28" s="3"/>
    </row>
    <row r="29" spans="1:12">
      <c r="A29" s="23"/>
      <c r="B29" s="3"/>
      <c r="C29" s="3"/>
      <c r="D29" s="3"/>
      <c r="E29" s="3"/>
      <c r="F29" s="23"/>
      <c r="G29" s="3"/>
      <c r="H29" s="3"/>
      <c r="I29" s="3"/>
      <c r="J29" s="3"/>
      <c r="K29" s="3"/>
      <c r="L29" s="3"/>
    </row>
    <row r="30" spans="1:12">
      <c r="A30" s="23"/>
      <c r="B30" s="3"/>
      <c r="C30" s="3"/>
      <c r="D30" s="3"/>
      <c r="E30" s="3"/>
      <c r="F30" s="23"/>
      <c r="G30" s="3"/>
      <c r="H30" s="3"/>
      <c r="I30" s="3"/>
      <c r="J30" s="3"/>
      <c r="K30" s="3"/>
      <c r="L30" s="3"/>
    </row>
    <row r="31" spans="1:12">
      <c r="A31" s="23"/>
      <c r="B31" s="3"/>
      <c r="C31" s="3"/>
      <c r="D31" s="3"/>
      <c r="E31" s="3"/>
      <c r="F31" s="23"/>
      <c r="G31" s="3"/>
      <c r="H31" s="3"/>
      <c r="I31" s="3"/>
      <c r="J31" s="3"/>
    </row>
    <row r="32" spans="1:12">
      <c r="A32" s="23"/>
      <c r="B32" s="3"/>
      <c r="C32" s="3"/>
      <c r="D32" s="3"/>
      <c r="E32" s="3"/>
      <c r="F32" s="23"/>
      <c r="G32" s="3"/>
      <c r="H32" s="3"/>
      <c r="I32" s="3"/>
      <c r="J32" s="3"/>
    </row>
    <row r="33" spans="1:10">
      <c r="A33" s="23"/>
      <c r="B33" s="3"/>
      <c r="C33" s="3"/>
      <c r="D33" s="3"/>
      <c r="E33" s="3"/>
      <c r="F33" s="23"/>
      <c r="G33" s="3"/>
      <c r="H33" s="3"/>
      <c r="I33" s="3"/>
      <c r="J33" s="3"/>
    </row>
    <row r="34" spans="1:10">
      <c r="A34" s="23"/>
      <c r="B34" s="3"/>
      <c r="C34" s="3"/>
      <c r="D34" s="3"/>
      <c r="E34" s="3"/>
      <c r="F34" s="23"/>
      <c r="G34" s="3"/>
      <c r="H34" s="3"/>
      <c r="I34" s="3"/>
      <c r="J34" s="3"/>
    </row>
    <row r="35" spans="1:10">
      <c r="A35" s="23"/>
      <c r="B35" s="3"/>
      <c r="C35" s="3"/>
      <c r="D35" s="3"/>
      <c r="E35" s="3"/>
      <c r="F35" s="23"/>
      <c r="G35" s="3"/>
      <c r="H35" s="3"/>
      <c r="I35" s="3"/>
      <c r="J35" s="3"/>
    </row>
    <row r="36" spans="1:10">
      <c r="A36" s="23"/>
      <c r="B36" s="3"/>
      <c r="C36" s="3"/>
      <c r="D36" s="3"/>
      <c r="E36" s="3"/>
      <c r="F36" s="23"/>
      <c r="G36" s="3"/>
      <c r="H36" s="3"/>
      <c r="I36" s="3"/>
      <c r="J36" s="3"/>
    </row>
  </sheetData>
  <sheetProtection password="E4D6" sheet="1" objects="1" scenarios="1"/>
  <mergeCells count="14">
    <mergeCell ref="B2:C2"/>
    <mergeCell ref="G2:H2"/>
    <mergeCell ref="B19:C19"/>
    <mergeCell ref="G19:H19"/>
    <mergeCell ref="B20:C20"/>
    <mergeCell ref="G20:H20"/>
    <mergeCell ref="B24:C24"/>
    <mergeCell ref="G24:H24"/>
    <mergeCell ref="B21:C21"/>
    <mergeCell ref="G21:H21"/>
    <mergeCell ref="B22:C22"/>
    <mergeCell ref="G22:H22"/>
    <mergeCell ref="B23:C23"/>
    <mergeCell ref="G23:H23"/>
  </mergeCells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Nuria Andresa Lewczuk</cp:lastModifiedBy>
  <dcterms:created xsi:type="dcterms:W3CDTF">2025-06-26T13:48:57Z</dcterms:created>
  <dcterms:modified xsi:type="dcterms:W3CDTF">2025-07-03T14:01:29Z</dcterms:modified>
</cp:coreProperties>
</file>