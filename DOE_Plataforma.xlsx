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Nutrientes_suelo/"/>
    </mc:Choice>
  </mc:AlternateContent>
  <xr:revisionPtr revIDLastSave="6" documentId="8_{D2261D58-9ADA-494E-ADD9-5D5CFA1E9DD6}" xr6:coauthVersionLast="47" xr6:coauthVersionMax="47" xr10:uidLastSave="{2A09F5FA-8F8D-450B-8A4F-498094CA41C1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5" i="1"/>
  <c r="G5" i="1"/>
  <c r="F23" i="1"/>
  <c r="G23" i="1" s="1"/>
  <c r="F22" i="1"/>
  <c r="G22" i="1" s="1"/>
  <c r="F21" i="1"/>
  <c r="G21" i="1" l="1"/>
  <c r="I21" i="1" s="1"/>
  <c r="I23" i="1"/>
  <c r="I22" i="1"/>
  <c r="F29" i="1"/>
  <c r="G29" i="1" s="1"/>
  <c r="F30" i="1"/>
  <c r="G30" i="1" s="1"/>
  <c r="F28" i="1"/>
  <c r="G28" i="1" s="1"/>
  <c r="I29" i="1" l="1"/>
  <c r="I30" i="1"/>
  <c r="I28" i="1"/>
  <c r="G16" i="1"/>
  <c r="F16" i="1"/>
  <c r="F15" i="1"/>
  <c r="G15" i="1" s="1"/>
  <c r="I15" i="1" s="1"/>
  <c r="F14" i="1"/>
  <c r="G14" i="1" s="1"/>
  <c r="F13" i="1"/>
  <c r="G13" i="1" s="1"/>
  <c r="F12" i="1"/>
  <c r="G12" i="1" s="1"/>
  <c r="I16" i="1" l="1"/>
  <c r="I13" i="1"/>
  <c r="I14" i="1"/>
  <c r="I12" i="1"/>
  <c r="F6" i="1"/>
  <c r="G6" i="1" s="1"/>
  <c r="I6" i="1" s="1"/>
  <c r="F7" i="1"/>
  <c r="G7" i="1" l="1"/>
  <c r="I7" i="1" s="1"/>
</calcChain>
</file>

<file path=xl/sharedStrings.xml><?xml version="1.0" encoding="utf-8"?>
<sst xmlns="http://schemas.openxmlformats.org/spreadsheetml/2006/main" count="46" uniqueCount="25">
  <si>
    <t>Relación INSUMO/PRODUCTO</t>
  </si>
  <si>
    <t>N diponible</t>
  </si>
  <si>
    <t>DOE (kg/ha)</t>
  </si>
  <si>
    <t xml:space="preserve">N diponible optimo económico </t>
  </si>
  <si>
    <t>Costo N (US$/kg N)</t>
  </si>
  <si>
    <t>Precio de grano (US$/kg grano)</t>
  </si>
  <si>
    <t>Alto (&gt; 6 t/ha)</t>
  </si>
  <si>
    <t>Medio (4-6 t/ha)</t>
  </si>
  <si>
    <t>Bajo (&lt; 4 t/ha)</t>
  </si>
  <si>
    <t>Maiz</t>
  </si>
  <si>
    <t>Bajo (8.5-10 t/ha)</t>
  </si>
  <si>
    <t>Medio (10.1-11.5 t/ha)</t>
  </si>
  <si>
    <t>Alto (11.6-13 t/ha)</t>
  </si>
  <si>
    <t>Trigo/Cebada</t>
  </si>
  <si>
    <t>Ambiente de rendimiento</t>
  </si>
  <si>
    <t>Papa</t>
  </si>
  <si>
    <t>Girasol</t>
  </si>
  <si>
    <t>Bajo (&lt; 2.5 t/ha)</t>
  </si>
  <si>
    <t>Medio (2.5-3.5 t/ha)</t>
  </si>
  <si>
    <t>Alto (&gt; 3.5 t/ha)</t>
  </si>
  <si>
    <t>Muy alto (&gt; 13 t/ha)</t>
  </si>
  <si>
    <t>Muy bajo (&lt; 8.5 t/ha)</t>
  </si>
  <si>
    <t>Bajo (&lt; 50 t/ha)</t>
  </si>
  <si>
    <t>Medio (50-65 t/ha)</t>
  </si>
  <si>
    <t>Alto (&gt; 65 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</si>
</sst>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0" fontId="1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30"/>
  <sheetViews>
    <sheetView tabSelected="1" workbookViewId="0">
      <selection activeCell="I6" sqref="I6"/>
    </sheetView>
  </sheetViews>
  <sheetFormatPr baseColWidth="10" defaultRowHeight="15" x14ac:dyDescent="0.25"/>
  <cols>
    <col min="2" max="2" width="12.42578125" bestFit="1" customWidth="1"/>
    <col min="3" max="3" width="22.28515625" bestFit="1" customWidth="1"/>
    <col min="4" max="4" width="27.7109375" bestFit="1" customWidth="1"/>
    <col min="5" max="5" width="22.28515625" customWidth="1"/>
    <col min="6" max="6" width="26.7109375" bestFit="1" customWidth="1"/>
    <col min="7" max="7" width="34.140625" customWidth="1"/>
  </cols>
  <sheetData>
    <row r="4" spans="2:9" x14ac:dyDescent="0.25">
      <c r="B4" s="9" t="s">
        <v>13</v>
      </c>
      <c r="C4" s="10" t="s">
        <v>14</v>
      </c>
      <c r="D4" s="13" t="s">
        <v>5</v>
      </c>
      <c r="E4" s="13" t="s">
        <v>4</v>
      </c>
      <c r="F4" s="7" t="s">
        <v>0</v>
      </c>
      <c r="G4" s="7" t="s">
        <v>3</v>
      </c>
      <c r="H4" s="3" t="s">
        <v>1</v>
      </c>
      <c r="I4" s="5" t="s">
        <v>2</v>
      </c>
    </row>
    <row r="5" spans="2:9" x14ac:dyDescent="0.25">
      <c r="B5" s="15"/>
      <c r="C5" s="11" t="s">
        <v>8</v>
      </c>
      <c r="D5" s="12">
        <v>0.2</v>
      </c>
      <c r="E5" s="12">
        <v>1.3</v>
      </c>
      <c r="F5" s="14">
        <f>E5/D5</f>
        <v>6.5</v>
      </c>
      <c r="G5" s="8">
        <f>(F5-34)/-0.25</f>
        <v>110</v>
      </c>
      <c r="H5" s="4">
        <v>50</v>
      </c>
      <c r="I5" s="6">
        <f>G5-H5</f>
        <v>60</v>
      </c>
    </row>
    <row r="6" spans="2:9" x14ac:dyDescent="0.25">
      <c r="B6" s="15"/>
      <c r="C6" s="11" t="s">
        <v>7</v>
      </c>
      <c r="D6" s="12">
        <v>0.2</v>
      </c>
      <c r="E6" s="12">
        <v>1.3</v>
      </c>
      <c r="F6" s="14">
        <f>E6/D6</f>
        <v>6.5</v>
      </c>
      <c r="G6" s="8">
        <f>(F6-36)/-0.215</f>
        <v>137.2093023255814</v>
      </c>
      <c r="H6" s="4">
        <v>50</v>
      </c>
      <c r="I6" s="6">
        <f>G6-H6</f>
        <v>87.209302325581405</v>
      </c>
    </row>
    <row r="7" spans="2:9" x14ac:dyDescent="0.25">
      <c r="B7" s="15"/>
      <c r="C7" s="11" t="s">
        <v>6</v>
      </c>
      <c r="D7" s="12">
        <v>0.2</v>
      </c>
      <c r="E7" s="12">
        <v>1.3</v>
      </c>
      <c r="F7" s="14">
        <f>E7/D7</f>
        <v>6.5</v>
      </c>
      <c r="G7" s="8">
        <f>(F7-38)/-0.182</f>
        <v>173.07692307692309</v>
      </c>
      <c r="H7" s="4">
        <v>50</v>
      </c>
      <c r="I7" s="6">
        <f>G7-H7</f>
        <v>123.07692307692309</v>
      </c>
    </row>
    <row r="8" spans="2:9" x14ac:dyDescent="0.25">
      <c r="F8" s="1"/>
      <c r="G8" s="1"/>
      <c r="H8" s="1"/>
      <c r="I8" s="2"/>
    </row>
    <row r="9" spans="2:9" x14ac:dyDescent="0.25">
      <c r="F9" s="1"/>
      <c r="G9" s="1"/>
      <c r="H9" s="1"/>
      <c r="I9" s="2"/>
    </row>
    <row r="10" spans="2:9" x14ac:dyDescent="0.25">
      <c r="F10" s="1"/>
      <c r="G10" s="1"/>
      <c r="H10" s="1"/>
      <c r="I10" s="2"/>
    </row>
    <row r="11" spans="2:9" x14ac:dyDescent="0.25">
      <c r="B11" s="9" t="s">
        <v>9</v>
      </c>
      <c r="C11" s="10" t="s">
        <v>14</v>
      </c>
      <c r="D11" s="13" t="s">
        <v>5</v>
      </c>
      <c r="E11" s="13" t="s">
        <v>4</v>
      </c>
      <c r="F11" s="7" t="s">
        <v>0</v>
      </c>
      <c r="G11" s="7" t="s">
        <v>3</v>
      </c>
      <c r="H11" s="3" t="s">
        <v>1</v>
      </c>
      <c r="I11" s="5" t="s">
        <v>2</v>
      </c>
    </row>
    <row r="12" spans="2:9" x14ac:dyDescent="0.25">
      <c r="B12" s="15"/>
      <c r="C12" s="11" t="s">
        <v>21</v>
      </c>
      <c r="D12" s="12">
        <v>0.19</v>
      </c>
      <c r="E12" s="12">
        <v>1.3</v>
      </c>
      <c r="F12" s="14">
        <f>E12/D12</f>
        <v>6.8421052631578947</v>
      </c>
      <c r="G12" s="8">
        <f>(F12-27)/-0.15</f>
        <v>134.38596491228071</v>
      </c>
      <c r="H12" s="4">
        <v>50</v>
      </c>
      <c r="I12" s="6">
        <f>G12-H12</f>
        <v>84.385964912280713</v>
      </c>
    </row>
    <row r="13" spans="2:9" x14ac:dyDescent="0.25">
      <c r="B13" s="15"/>
      <c r="C13" s="11" t="s">
        <v>10</v>
      </c>
      <c r="D13" s="12">
        <v>0.19</v>
      </c>
      <c r="E13" s="12">
        <v>1.3</v>
      </c>
      <c r="F13" s="14">
        <f t="shared" ref="F13:F14" si="0">E13/D13</f>
        <v>6.8421052631578947</v>
      </c>
      <c r="G13" s="8">
        <f>(F13-46)/-0.25</f>
        <v>156.63157894736841</v>
      </c>
      <c r="H13" s="4">
        <v>50</v>
      </c>
      <c r="I13" s="6">
        <f>G13-H13</f>
        <v>106.63157894736841</v>
      </c>
    </row>
    <row r="14" spans="2:9" x14ac:dyDescent="0.25">
      <c r="B14" s="15"/>
      <c r="C14" s="11" t="s">
        <v>11</v>
      </c>
      <c r="D14" s="12">
        <v>0.19</v>
      </c>
      <c r="E14" s="12">
        <v>1.3</v>
      </c>
      <c r="F14" s="14">
        <f t="shared" si="0"/>
        <v>6.8421052631578947</v>
      </c>
      <c r="G14" s="8">
        <f>(F14-47)/-0.22</f>
        <v>182.5358851674641</v>
      </c>
      <c r="H14" s="4">
        <v>50</v>
      </c>
      <c r="I14" s="6">
        <f>G14-H14</f>
        <v>132.5358851674641</v>
      </c>
    </row>
    <row r="15" spans="2:9" x14ac:dyDescent="0.25">
      <c r="B15" s="15"/>
      <c r="C15" s="11" t="s">
        <v>12</v>
      </c>
      <c r="D15" s="12">
        <v>0.19</v>
      </c>
      <c r="E15" s="12">
        <v>1.3</v>
      </c>
      <c r="F15" s="14">
        <f t="shared" ref="F15:F16" si="1">E15/D15</f>
        <v>6.8421052631578947</v>
      </c>
      <c r="G15" s="8">
        <f>(F15-47)/-0.18</f>
        <v>223.09941520467837</v>
      </c>
      <c r="H15" s="4">
        <v>50</v>
      </c>
      <c r="I15" s="6">
        <f>G15-H15</f>
        <v>173.09941520467837</v>
      </c>
    </row>
    <row r="16" spans="2:9" x14ac:dyDescent="0.25">
      <c r="B16" s="15"/>
      <c r="C16" s="11" t="s">
        <v>20</v>
      </c>
      <c r="D16" s="12">
        <v>0.19</v>
      </c>
      <c r="E16" s="12">
        <v>1.3</v>
      </c>
      <c r="F16" s="14">
        <f t="shared" si="1"/>
        <v>6.8421052631578947</v>
      </c>
      <c r="G16" s="8">
        <f>(F16-48)/-0.16</f>
        <v>257.23684210526312</v>
      </c>
      <c r="H16" s="4">
        <v>50</v>
      </c>
      <c r="I16" s="6">
        <f>G16-H16</f>
        <v>207.23684210526312</v>
      </c>
    </row>
    <row r="20" spans="2:9" x14ac:dyDescent="0.25">
      <c r="B20" s="9" t="s">
        <v>15</v>
      </c>
      <c r="C20" s="10" t="s">
        <v>14</v>
      </c>
      <c r="D20" s="13" t="s">
        <v>5</v>
      </c>
      <c r="E20" s="13" t="s">
        <v>4</v>
      </c>
      <c r="F20" s="7" t="s">
        <v>0</v>
      </c>
      <c r="G20" s="7" t="s">
        <v>3</v>
      </c>
      <c r="H20" s="3" t="s">
        <v>1</v>
      </c>
      <c r="I20" s="5" t="s">
        <v>2</v>
      </c>
    </row>
    <row r="21" spans="2:9" x14ac:dyDescent="0.25">
      <c r="B21" s="15"/>
      <c r="C21" s="11" t="s">
        <v>22</v>
      </c>
      <c r="D21" s="12">
        <v>0.3</v>
      </c>
      <c r="E21" s="12">
        <v>0.9</v>
      </c>
      <c r="F21" s="14">
        <f>E21/D21</f>
        <v>3</v>
      </c>
      <c r="G21" s="8">
        <f>(F21-190.58)/-1.026</f>
        <v>182.82651072124756</v>
      </c>
      <c r="H21" s="4">
        <v>50</v>
      </c>
      <c r="I21" s="6">
        <f>G21-H21</f>
        <v>132.82651072124756</v>
      </c>
    </row>
    <row r="22" spans="2:9" x14ac:dyDescent="0.25">
      <c r="B22" s="15"/>
      <c r="C22" s="11" t="s">
        <v>23</v>
      </c>
      <c r="D22" s="12">
        <v>0.3</v>
      </c>
      <c r="E22" s="12">
        <v>0.9</v>
      </c>
      <c r="F22" s="14">
        <f t="shared" ref="F22:F23" si="2">E22/D22</f>
        <v>3</v>
      </c>
      <c r="G22" s="8">
        <f>(F22-190)/-0.77</f>
        <v>242.85714285714286</v>
      </c>
      <c r="H22" s="4">
        <v>50</v>
      </c>
      <c r="I22" s="6">
        <f>G22-H22</f>
        <v>192.85714285714286</v>
      </c>
    </row>
    <row r="23" spans="2:9" x14ac:dyDescent="0.25">
      <c r="B23" s="15"/>
      <c r="C23" s="11" t="s">
        <v>24</v>
      </c>
      <c r="D23" s="12">
        <v>0.3</v>
      </c>
      <c r="E23" s="12">
        <v>0.9</v>
      </c>
      <c r="F23" s="14">
        <f t="shared" si="2"/>
        <v>3</v>
      </c>
      <c r="G23" s="8">
        <f>(F23-190)/-0.59</f>
        <v>316.94915254237287</v>
      </c>
      <c r="H23" s="4">
        <v>50</v>
      </c>
      <c r="I23" s="6">
        <f>G23-H23</f>
        <v>266.94915254237287</v>
      </c>
    </row>
    <row r="27" spans="2:9" x14ac:dyDescent="0.25">
      <c r="B27" s="9" t="s">
        <v>16</v>
      </c>
      <c r="C27" s="10" t="s">
        <v>14</v>
      </c>
      <c r="D27" s="13" t="s">
        <v>5</v>
      </c>
      <c r="E27" s="13" t="s">
        <v>4</v>
      </c>
      <c r="F27" s="7" t="s">
        <v>0</v>
      </c>
      <c r="G27" s="7" t="s">
        <v>3</v>
      </c>
      <c r="H27" s="3" t="s">
        <v>1</v>
      </c>
      <c r="I27" s="5" t="s">
        <v>2</v>
      </c>
    </row>
    <row r="28" spans="2:9" x14ac:dyDescent="0.25">
      <c r="B28" s="15"/>
      <c r="C28" s="11" t="s">
        <v>17</v>
      </c>
      <c r="D28" s="12">
        <v>0.3</v>
      </c>
      <c r="E28" s="12">
        <v>1.3</v>
      </c>
      <c r="F28" s="14">
        <f>E28/D28</f>
        <v>4.3333333333333339</v>
      </c>
      <c r="G28" s="8">
        <f>(F28-13)/-0.085</f>
        <v>101.96078431372547</v>
      </c>
      <c r="H28" s="4">
        <v>50</v>
      </c>
      <c r="I28" s="6">
        <f>G28-H28</f>
        <v>51.960784313725469</v>
      </c>
    </row>
    <row r="29" spans="2:9" x14ac:dyDescent="0.25">
      <c r="B29" s="15"/>
      <c r="C29" s="11" t="s">
        <v>18</v>
      </c>
      <c r="D29" s="12">
        <v>0.3</v>
      </c>
      <c r="E29" s="12">
        <v>1.3</v>
      </c>
      <c r="F29" s="14">
        <f>E29/D29</f>
        <v>4.3333333333333339</v>
      </c>
      <c r="G29" s="8">
        <f>(F29-13)/-0.068</f>
        <v>127.45098039215685</v>
      </c>
      <c r="H29" s="4">
        <v>50</v>
      </c>
      <c r="I29" s="6">
        <f>G29-H29</f>
        <v>77.45098039215685</v>
      </c>
    </row>
    <row r="30" spans="2:9" x14ac:dyDescent="0.25">
      <c r="B30" s="15"/>
      <c r="C30" s="11" t="s">
        <v>19</v>
      </c>
      <c r="D30" s="12">
        <v>0.3</v>
      </c>
      <c r="E30" s="12">
        <v>1.3</v>
      </c>
      <c r="F30" s="14">
        <f t="shared" ref="F30" si="3">E30/D30</f>
        <v>4.3333333333333339</v>
      </c>
      <c r="G30" s="8">
        <f>(F30-13)/-0.056</f>
        <v>154.76190476190476</v>
      </c>
      <c r="H30" s="4">
        <v>50</v>
      </c>
      <c r="I30" s="6">
        <f>G30-H30</f>
        <v>104.76190476190476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Nuria Andresa Lewczuk</cp:lastModifiedBy>
  <dcterms:created xsi:type="dcterms:W3CDTF">2025-06-26T14:09:17Z</dcterms:created>
  <dcterms:modified xsi:type="dcterms:W3CDTF">2025-07-07T16:57:58Z</dcterms:modified>
</cp:coreProperties>
</file>